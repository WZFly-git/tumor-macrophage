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4366\Desktop\project2\数据\"/>
    </mc:Choice>
  </mc:AlternateContent>
  <xr:revisionPtr revIDLastSave="0" documentId="13_ncr:1_{94BB3AF8-0D51-4745-9660-846563930C7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5" i="1" l="1"/>
  <c r="U25" i="1"/>
  <c r="V25" i="1"/>
  <c r="W25" i="1"/>
  <c r="X25" i="1"/>
  <c r="S25" i="1"/>
  <c r="Y25" i="1" s="1"/>
  <c r="T23" i="1"/>
  <c r="U23" i="1"/>
  <c r="V23" i="1"/>
  <c r="W23" i="1"/>
  <c r="X23" i="1"/>
  <c r="S23" i="1"/>
  <c r="L25" i="1"/>
  <c r="M25" i="1"/>
  <c r="N25" i="1"/>
  <c r="O25" i="1"/>
  <c r="P25" i="1"/>
  <c r="K25" i="1"/>
  <c r="L23" i="1"/>
  <c r="M23" i="1"/>
  <c r="N23" i="1"/>
  <c r="O23" i="1"/>
  <c r="P23" i="1"/>
  <c r="K23" i="1"/>
  <c r="Q23" i="1" s="1"/>
  <c r="T19" i="1"/>
  <c r="U19" i="1"/>
  <c r="V19" i="1"/>
  <c r="W19" i="1"/>
  <c r="X19" i="1"/>
  <c r="S19" i="1"/>
  <c r="T17" i="1"/>
  <c r="U17" i="1"/>
  <c r="V17" i="1"/>
  <c r="W17" i="1"/>
  <c r="X17" i="1"/>
  <c r="S17" i="1"/>
  <c r="L17" i="1"/>
  <c r="M17" i="1"/>
  <c r="N17" i="1"/>
  <c r="O17" i="1"/>
  <c r="P17" i="1"/>
  <c r="K17" i="1"/>
  <c r="L19" i="1"/>
  <c r="M19" i="1"/>
  <c r="N19" i="1"/>
  <c r="O19" i="1"/>
  <c r="P19" i="1"/>
  <c r="K19" i="1"/>
  <c r="D25" i="1"/>
  <c r="E25" i="1"/>
  <c r="F25" i="1"/>
  <c r="G25" i="1"/>
  <c r="H25" i="1"/>
  <c r="D23" i="1"/>
  <c r="E23" i="1"/>
  <c r="F23" i="1"/>
  <c r="G23" i="1"/>
  <c r="H23" i="1"/>
  <c r="C25" i="1"/>
  <c r="C23" i="1"/>
  <c r="Y23" i="1"/>
  <c r="C19" i="1"/>
  <c r="Q19" i="1"/>
  <c r="D19" i="1"/>
  <c r="E19" i="1"/>
  <c r="F19" i="1"/>
  <c r="G19" i="1"/>
  <c r="I19" i="1" s="1"/>
  <c r="H19" i="1"/>
  <c r="C17" i="1"/>
  <c r="D17" i="1"/>
  <c r="E17" i="1"/>
  <c r="F17" i="1"/>
  <c r="G17" i="1"/>
  <c r="H17" i="1"/>
  <c r="Q25" i="1"/>
  <c r="I25" i="1"/>
  <c r="Y17" i="1"/>
  <c r="I11" i="1"/>
  <c r="Q11" i="1"/>
  <c r="Y11" i="1"/>
  <c r="Y5" i="1"/>
  <c r="Q5" i="1"/>
  <c r="I5" i="1"/>
  <c r="I9" i="1"/>
  <c r="Q9" i="1"/>
  <c r="Y9" i="1"/>
  <c r="Y3" i="1"/>
  <c r="Q3" i="1"/>
  <c r="I3" i="1"/>
  <c r="Y19" i="1" l="1"/>
  <c r="Q17" i="1"/>
  <c r="I23" i="1"/>
  <c r="I17" i="1"/>
</calcChain>
</file>

<file path=xl/sharedStrings.xml><?xml version="1.0" encoding="utf-8"?>
<sst xmlns="http://schemas.openxmlformats.org/spreadsheetml/2006/main" count="8" uniqueCount="2">
  <si>
    <t>week3-4</t>
  </si>
  <si>
    <t>week7-8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</si>
</sst>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AAE57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topLeftCell="H1" zoomScale="130" zoomScaleNormal="130" workbookViewId="0">
      <selection activeCell="Y29" sqref="Y29"/>
    </sheetView>
  </sheetViews>
  <sheetFormatPr defaultRowHeight="14" x14ac:dyDescent="0.3"/>
  <cols>
    <col min="2" max="2" width="2.58203125" customWidth="1"/>
    <col min="10" max="10" width="3" customWidth="1"/>
    <col min="18" max="18" width="4.33203125" customWidth="1"/>
  </cols>
  <sheetData>
    <row r="1" spans="1:25" x14ac:dyDescent="0.3">
      <c r="A1" s="7"/>
      <c r="B1" s="7"/>
      <c r="C1" s="8">
        <v>1</v>
      </c>
      <c r="D1" s="8"/>
      <c r="E1" s="8"/>
      <c r="F1" s="8"/>
      <c r="G1" s="8"/>
      <c r="H1" s="8"/>
      <c r="I1" s="8"/>
      <c r="J1" s="1"/>
      <c r="K1" s="9">
        <v>2</v>
      </c>
      <c r="L1" s="9"/>
      <c r="M1" s="9"/>
      <c r="N1" s="9"/>
      <c r="O1" s="9"/>
      <c r="P1" s="9"/>
      <c r="Q1" s="9"/>
      <c r="R1" s="1"/>
      <c r="S1" s="10">
        <v>3</v>
      </c>
      <c r="T1" s="10"/>
      <c r="U1" s="10"/>
      <c r="V1" s="10"/>
      <c r="W1" s="10"/>
      <c r="X1" s="10"/>
      <c r="Y1" s="3"/>
    </row>
    <row r="2" spans="1:25" x14ac:dyDescent="0.3">
      <c r="A2" s="7"/>
      <c r="B2" s="7"/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7"/>
      <c r="J2" s="1"/>
      <c r="K2" s="2">
        <v>1</v>
      </c>
      <c r="L2" s="2">
        <v>2</v>
      </c>
      <c r="M2" s="2">
        <v>3</v>
      </c>
      <c r="N2" s="2">
        <v>4</v>
      </c>
      <c r="O2" s="2">
        <v>5</v>
      </c>
      <c r="P2" s="2">
        <v>6</v>
      </c>
      <c r="Q2" s="2"/>
      <c r="R2" s="1"/>
      <c r="S2" s="3">
        <v>1</v>
      </c>
      <c r="T2" s="3">
        <v>2</v>
      </c>
      <c r="U2" s="3">
        <v>3</v>
      </c>
      <c r="V2" s="3">
        <v>4</v>
      </c>
      <c r="W2" s="3">
        <v>5</v>
      </c>
      <c r="X2" s="3">
        <v>6</v>
      </c>
      <c r="Y2" s="3"/>
    </row>
    <row r="3" spans="1:25" x14ac:dyDescent="0.3">
      <c r="A3" s="7" t="s">
        <v>0</v>
      </c>
      <c r="B3" s="7"/>
      <c r="C3" s="7">
        <v>42.380952380952301</v>
      </c>
      <c r="D3" s="7">
        <v>7.3548387096774199</v>
      </c>
      <c r="E3" s="7">
        <v>10.6451612903225</v>
      </c>
      <c r="F3" s="7">
        <v>3.8709677419354902</v>
      </c>
      <c r="G3" s="7">
        <v>18.387096774193498</v>
      </c>
      <c r="H3" s="7">
        <v>6.5806451612903203</v>
      </c>
      <c r="I3" s="7">
        <f>SUM(C3:H3)</f>
        <v>89.219662058371526</v>
      </c>
      <c r="J3" s="1"/>
      <c r="K3" s="2">
        <v>28.451612903225801</v>
      </c>
      <c r="L3" s="2">
        <v>20.129032258064498</v>
      </c>
      <c r="M3" s="2">
        <v>7.93548387096775</v>
      </c>
      <c r="N3" s="2">
        <v>7.5483870967742002</v>
      </c>
      <c r="O3" s="2">
        <v>12.193548387096699</v>
      </c>
      <c r="P3" s="2">
        <v>23.0322580645161</v>
      </c>
      <c r="Q3" s="2">
        <f>SUM(K3:P3)</f>
        <v>99.290322580645054</v>
      </c>
      <c r="R3" s="1"/>
      <c r="S3" s="3">
        <v>16.258064516129</v>
      </c>
      <c r="T3" s="3">
        <v>15.8709677419354</v>
      </c>
      <c r="U3" s="3">
        <v>10.838709677419301</v>
      </c>
      <c r="V3" s="3">
        <v>12.3870967741935</v>
      </c>
      <c r="W3" s="3">
        <v>23.999999999999901</v>
      </c>
      <c r="X3" s="3">
        <v>20.322580645161199</v>
      </c>
      <c r="Y3" s="3">
        <f>SUM(S3:X3)</f>
        <v>99.677419354838293</v>
      </c>
    </row>
    <row r="4" spans="1:25" x14ac:dyDescent="0.3">
      <c r="A4" s="7"/>
      <c r="B4" s="7"/>
      <c r="C4" s="7"/>
      <c r="D4" s="7"/>
      <c r="E4" s="7"/>
      <c r="F4" s="7"/>
      <c r="G4" s="7"/>
      <c r="H4" s="7"/>
      <c r="I4" s="7"/>
      <c r="J4" s="1"/>
      <c r="K4" s="2"/>
      <c r="L4" s="2"/>
      <c r="M4" s="2"/>
      <c r="N4" s="2"/>
      <c r="O4" s="2"/>
      <c r="P4" s="2"/>
      <c r="Q4" s="2"/>
      <c r="R4" s="1"/>
      <c r="S4" s="3"/>
      <c r="T4" s="3"/>
      <c r="U4" s="3"/>
      <c r="V4" s="3"/>
      <c r="W4" s="3"/>
      <c r="X4" s="3"/>
      <c r="Y4" s="3"/>
    </row>
    <row r="5" spans="1:25" x14ac:dyDescent="0.3">
      <c r="A5" s="7" t="s">
        <v>1</v>
      </c>
      <c r="B5" s="7"/>
      <c r="C5" s="7">
        <v>32.727272727272599</v>
      </c>
      <c r="D5" s="14">
        <v>9.8039215686274392</v>
      </c>
      <c r="E5" s="14">
        <v>8.8235294117646994</v>
      </c>
      <c r="F5" s="14">
        <v>12.9411764705882</v>
      </c>
      <c r="G5" s="14">
        <v>19.411764705882302</v>
      </c>
      <c r="H5" s="14">
        <v>17.058823529411701</v>
      </c>
      <c r="I5" s="7">
        <f>SUM(C5:H5)</f>
        <v>100.76648841354694</v>
      </c>
      <c r="J5" s="1"/>
      <c r="K5" s="2">
        <v>15.6862745098039</v>
      </c>
      <c r="L5" s="2">
        <v>15.4901960784313</v>
      </c>
      <c r="M5" s="2">
        <v>14.705882352941099</v>
      </c>
      <c r="N5" s="2">
        <v>28.636363636363502</v>
      </c>
      <c r="O5" s="2">
        <v>18.627450980392101</v>
      </c>
      <c r="P5" s="2">
        <v>10.3921568627451</v>
      </c>
      <c r="Q5" s="2">
        <f>SUM(K5:P5)</f>
        <v>103.53832442067699</v>
      </c>
      <c r="R5" s="1"/>
      <c r="S5" s="3">
        <v>16.470588235294102</v>
      </c>
      <c r="T5" s="3">
        <v>11.5686274509803</v>
      </c>
      <c r="U5" s="3">
        <v>22.9411764705882</v>
      </c>
      <c r="V5" s="3">
        <v>28.181818181818102</v>
      </c>
      <c r="W5" s="3">
        <v>19.411764705882302</v>
      </c>
      <c r="X5" s="3">
        <v>7.6470588235294104</v>
      </c>
      <c r="Y5" s="3">
        <f>SUM(S5:X5)</f>
        <v>106.22103386809242</v>
      </c>
    </row>
    <row r="6" spans="1:2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4"/>
      <c r="B7" s="4"/>
      <c r="C7" s="11">
        <v>4</v>
      </c>
      <c r="D7" s="11"/>
      <c r="E7" s="11"/>
      <c r="F7" s="11"/>
      <c r="G7" s="11"/>
      <c r="H7" s="11"/>
      <c r="I7" s="11"/>
      <c r="J7" s="1"/>
      <c r="K7" s="12">
        <v>5</v>
      </c>
      <c r="L7" s="12"/>
      <c r="M7" s="12"/>
      <c r="N7" s="12"/>
      <c r="O7" s="12"/>
      <c r="P7" s="12"/>
      <c r="Q7" s="12"/>
      <c r="R7" s="1"/>
      <c r="S7" s="13">
        <v>6</v>
      </c>
      <c r="T7" s="13"/>
      <c r="U7" s="13"/>
      <c r="V7" s="13"/>
      <c r="W7" s="13"/>
      <c r="X7" s="13"/>
      <c r="Y7" s="13"/>
    </row>
    <row r="8" spans="1:25" x14ac:dyDescent="0.3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/>
      <c r="J8" s="1"/>
      <c r="K8" s="5">
        <v>1</v>
      </c>
      <c r="L8" s="5">
        <v>2</v>
      </c>
      <c r="M8" s="5">
        <v>3</v>
      </c>
      <c r="N8" s="5">
        <v>4</v>
      </c>
      <c r="O8" s="5">
        <v>5</v>
      </c>
      <c r="P8" s="5">
        <v>6</v>
      </c>
      <c r="Q8" s="5"/>
      <c r="R8" s="1"/>
      <c r="S8" s="6">
        <v>1</v>
      </c>
      <c r="T8" s="6">
        <v>2</v>
      </c>
      <c r="U8" s="6">
        <v>3</v>
      </c>
      <c r="V8" s="6">
        <v>4</v>
      </c>
      <c r="W8" s="6">
        <v>5</v>
      </c>
      <c r="X8" s="6">
        <v>6</v>
      </c>
      <c r="Y8" s="6"/>
    </row>
    <row r="9" spans="1:25" x14ac:dyDescent="0.3">
      <c r="A9" s="4" t="s">
        <v>0</v>
      </c>
      <c r="B9" s="4"/>
      <c r="C9" s="15">
        <v>26.129032258064498</v>
      </c>
      <c r="D9" s="15">
        <v>10.6451612903225</v>
      </c>
      <c r="E9" s="15">
        <v>8.3225806451613007</v>
      </c>
      <c r="F9" s="15">
        <v>9.4838709677419306</v>
      </c>
      <c r="G9" s="15">
        <v>16.258064516129</v>
      </c>
      <c r="H9" s="15">
        <v>16.645161290322498</v>
      </c>
      <c r="I9" s="4">
        <f>SUM(C9:H9)</f>
        <v>87.483870967741723</v>
      </c>
      <c r="J9" s="1"/>
      <c r="K9" s="16">
        <v>17.806451612903199</v>
      </c>
      <c r="L9" s="16">
        <v>8.1290322580645196</v>
      </c>
      <c r="M9" s="16">
        <v>9.67741935483871</v>
      </c>
      <c r="N9" s="16">
        <v>20.709677419354801</v>
      </c>
      <c r="O9" s="16">
        <v>18</v>
      </c>
      <c r="P9" s="16">
        <v>22.451612903225801</v>
      </c>
      <c r="Q9" s="5">
        <f>SUM(K9:P9)</f>
        <v>96.774193548387018</v>
      </c>
      <c r="R9" s="1"/>
      <c r="S9" s="17">
        <v>7.3548387096774199</v>
      </c>
      <c r="T9" s="17">
        <v>11.0322580645161</v>
      </c>
      <c r="U9" s="17">
        <v>7.5483870967742002</v>
      </c>
      <c r="V9" s="17">
        <v>17.612903225806399</v>
      </c>
      <c r="W9" s="17">
        <v>13.3548387096774</v>
      </c>
      <c r="X9" s="6">
        <v>37.174603174603099</v>
      </c>
      <c r="Y9" s="6">
        <f>SUM(S9:X9)</f>
        <v>94.077828981054623</v>
      </c>
    </row>
    <row r="10" spans="1:25" x14ac:dyDescent="0.3">
      <c r="A10" s="4"/>
      <c r="B10" s="4"/>
      <c r="C10" s="4"/>
      <c r="D10" s="4"/>
      <c r="E10" s="4"/>
      <c r="F10" s="4"/>
      <c r="G10" s="4"/>
      <c r="H10" s="4"/>
      <c r="I10" s="4"/>
      <c r="J10" s="1"/>
      <c r="K10" s="5"/>
      <c r="L10" s="5"/>
      <c r="M10" s="5"/>
      <c r="N10" s="5"/>
      <c r="O10" s="5"/>
      <c r="P10" s="5"/>
      <c r="Q10" s="5"/>
      <c r="R10" s="1"/>
      <c r="S10" s="6"/>
      <c r="T10" s="6"/>
      <c r="U10" s="6"/>
      <c r="V10" s="6"/>
      <c r="W10" s="6"/>
      <c r="X10" s="6"/>
      <c r="Y10" s="6"/>
    </row>
    <row r="11" spans="1:25" x14ac:dyDescent="0.3">
      <c r="A11" s="4" t="s">
        <v>1</v>
      </c>
      <c r="B11" s="4"/>
      <c r="C11" s="4">
        <v>18.431372549019599</v>
      </c>
      <c r="D11" s="4">
        <v>30.757575757575601</v>
      </c>
      <c r="E11" s="4">
        <v>9.0196078431372495</v>
      </c>
      <c r="F11" s="4">
        <v>29.393939393939299</v>
      </c>
      <c r="G11" s="4">
        <v>2.9411764705882302</v>
      </c>
      <c r="H11" s="4">
        <v>14.313725490195999</v>
      </c>
      <c r="I11" s="4">
        <f>SUM(C11:H11)</f>
        <v>104.85739750445597</v>
      </c>
      <c r="J11" s="1"/>
      <c r="K11" s="16">
        <v>9.0196078431372406</v>
      </c>
      <c r="L11" s="16">
        <v>10.392156862745001</v>
      </c>
      <c r="M11" s="16">
        <v>13.921568627450901</v>
      </c>
      <c r="N11" s="16">
        <v>23.3333333333333</v>
      </c>
      <c r="O11" s="16">
        <v>16.2745098039215</v>
      </c>
      <c r="P11" s="5">
        <v>30.606060606060499</v>
      </c>
      <c r="Q11" s="5">
        <f>SUM(K11:P11)</f>
        <v>103.54723707664844</v>
      </c>
      <c r="R11" s="1"/>
      <c r="S11" s="17">
        <v>5.6862745098039102</v>
      </c>
      <c r="T11" s="17">
        <v>12.9411764705882</v>
      </c>
      <c r="U11" s="17">
        <v>4.7058823529411704</v>
      </c>
      <c r="V11" s="17">
        <v>21.764705882352899</v>
      </c>
      <c r="W11" s="17">
        <v>4.7058823529411598</v>
      </c>
      <c r="X11" s="6">
        <v>42.878787878787797</v>
      </c>
      <c r="Y11" s="6">
        <f>SUM(S11:X11)</f>
        <v>92.682709447415135</v>
      </c>
    </row>
    <row r="12" spans="1:2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5" spans="1:25" x14ac:dyDescent="0.3">
      <c r="A15" s="7"/>
      <c r="B15" s="7"/>
      <c r="C15" s="8">
        <v>1</v>
      </c>
      <c r="D15" s="8"/>
      <c r="E15" s="8"/>
      <c r="F15" s="8"/>
      <c r="G15" s="8"/>
      <c r="H15" s="8"/>
      <c r="I15" s="8"/>
      <c r="J15" s="1"/>
      <c r="K15" s="9">
        <v>2</v>
      </c>
      <c r="L15" s="9"/>
      <c r="M15" s="9"/>
      <c r="N15" s="9"/>
      <c r="O15" s="9"/>
      <c r="P15" s="9"/>
      <c r="Q15" s="9"/>
      <c r="R15" s="1"/>
      <c r="S15" s="10">
        <v>3</v>
      </c>
      <c r="T15" s="10"/>
      <c r="U15" s="10"/>
      <c r="V15" s="10"/>
      <c r="W15" s="10"/>
      <c r="X15" s="10"/>
      <c r="Y15" s="3"/>
    </row>
    <row r="16" spans="1:25" x14ac:dyDescent="0.3">
      <c r="A16" s="7"/>
      <c r="B16" s="7"/>
      <c r="C16" s="7">
        <v>1</v>
      </c>
      <c r="D16" s="7">
        <v>2</v>
      </c>
      <c r="E16" s="7">
        <v>3</v>
      </c>
      <c r="F16" s="7">
        <v>4</v>
      </c>
      <c r="G16" s="7">
        <v>5</v>
      </c>
      <c r="H16" s="7">
        <v>6</v>
      </c>
      <c r="I16" s="7"/>
      <c r="J16" s="1"/>
      <c r="K16" s="2">
        <v>1</v>
      </c>
      <c r="L16" s="2">
        <v>2</v>
      </c>
      <c r="M16" s="2">
        <v>3</v>
      </c>
      <c r="N16" s="2">
        <v>4</v>
      </c>
      <c r="O16" s="2">
        <v>5</v>
      </c>
      <c r="P16" s="2">
        <v>6</v>
      </c>
      <c r="Q16" s="2"/>
      <c r="R16" s="1"/>
      <c r="S16" s="3">
        <v>1</v>
      </c>
      <c r="T16" s="3">
        <v>2</v>
      </c>
      <c r="U16" s="3">
        <v>3</v>
      </c>
      <c r="V16" s="3">
        <v>4</v>
      </c>
      <c r="W16" s="3">
        <v>5</v>
      </c>
      <c r="X16" s="3">
        <v>6</v>
      </c>
      <c r="Y16" s="3"/>
    </row>
    <row r="17" spans="1:25" x14ac:dyDescent="0.3">
      <c r="A17" s="7" t="s">
        <v>0</v>
      </c>
      <c r="B17" s="7"/>
      <c r="C17" s="7">
        <f>C3*100/$I$3</f>
        <v>47.50180778898801</v>
      </c>
      <c r="D17" s="7">
        <f t="shared" ref="D17:H17" si="0">D3*100/$I$3</f>
        <v>8.2435177852002539</v>
      </c>
      <c r="E17" s="7">
        <f t="shared" si="0"/>
        <v>11.931407320684489</v>
      </c>
      <c r="F17" s="7">
        <f t="shared" si="0"/>
        <v>4.3386935711580357</v>
      </c>
      <c r="G17" s="7">
        <f t="shared" si="0"/>
        <v>20.608794463000578</v>
      </c>
      <c r="H17" s="7">
        <f t="shared" si="0"/>
        <v>7.3757790709686448</v>
      </c>
      <c r="I17" s="7">
        <f>SUM(C17:H17)</f>
        <v>100.00000000000001</v>
      </c>
      <c r="J17" s="1"/>
      <c r="K17" s="2">
        <f>K3*100/$Q$3</f>
        <v>28.654970760233944</v>
      </c>
      <c r="L17" s="2">
        <f t="shared" ref="L17:P17" si="1">L3*100/$Q$3</f>
        <v>20.272904483430803</v>
      </c>
      <c r="M17" s="2">
        <f t="shared" si="1"/>
        <v>7.992202729044851</v>
      </c>
      <c r="N17" s="2">
        <f t="shared" si="1"/>
        <v>7.6023391812865651</v>
      </c>
      <c r="O17" s="2">
        <f t="shared" si="1"/>
        <v>12.280701754385904</v>
      </c>
      <c r="P17" s="2">
        <f t="shared" si="1"/>
        <v>23.196881091617929</v>
      </c>
      <c r="Q17" s="2">
        <f>SUM(K17:P17)</f>
        <v>99.999999999999986</v>
      </c>
      <c r="R17" s="1"/>
      <c r="S17" s="3">
        <f>S3*100/$Y$3</f>
        <v>16.310679611650521</v>
      </c>
      <c r="T17" s="3">
        <f t="shared" ref="T17:X17" si="2">T3*100/$Y$3</f>
        <v>15.922330097087363</v>
      </c>
      <c r="U17" s="3">
        <f t="shared" si="2"/>
        <v>10.873786407766982</v>
      </c>
      <c r="V17" s="3">
        <f t="shared" si="2"/>
        <v>12.427184466019423</v>
      </c>
      <c r="W17" s="3">
        <f t="shared" si="2"/>
        <v>24.077669902912621</v>
      </c>
      <c r="X17" s="3">
        <f t="shared" si="2"/>
        <v>20.3883495145631</v>
      </c>
      <c r="Y17" s="3">
        <f>SUM(S17:X17)</f>
        <v>100.00000000000001</v>
      </c>
    </row>
    <row r="18" spans="1:25" x14ac:dyDescent="0.3">
      <c r="A18" s="7"/>
      <c r="B18" s="7"/>
      <c r="C18" s="7"/>
      <c r="D18" s="7"/>
      <c r="E18" s="7"/>
      <c r="F18" s="7"/>
      <c r="G18" s="7"/>
      <c r="H18" s="7"/>
      <c r="I18" s="7"/>
      <c r="J18" s="1"/>
      <c r="K18" s="2"/>
      <c r="L18" s="2"/>
      <c r="M18" s="2"/>
      <c r="N18" s="2"/>
      <c r="O18" s="2"/>
      <c r="P18" s="2"/>
      <c r="Q18" s="2"/>
      <c r="R18" s="1"/>
      <c r="S18" s="3"/>
      <c r="T18" s="3"/>
      <c r="U18" s="3"/>
      <c r="V18" s="3"/>
      <c r="W18" s="3"/>
      <c r="X18" s="3"/>
      <c r="Y18" s="3"/>
    </row>
    <row r="19" spans="1:25" x14ac:dyDescent="0.3">
      <c r="A19" s="7" t="s">
        <v>1</v>
      </c>
      <c r="B19" s="7"/>
      <c r="C19" s="7">
        <f>C5*100/$I$5</f>
        <v>32.478330090217554</v>
      </c>
      <c r="D19" s="7">
        <f t="shared" ref="D19:H19" si="3">D5*100/$I$5</f>
        <v>9.7293472492482049</v>
      </c>
      <c r="E19" s="7">
        <f t="shared" si="3"/>
        <v>8.7564125243233875</v>
      </c>
      <c r="F19" s="7">
        <f t="shared" si="3"/>
        <v>12.842738369007609</v>
      </c>
      <c r="G19" s="7">
        <f t="shared" si="3"/>
        <v>19.264107553511415</v>
      </c>
      <c r="H19" s="7">
        <f t="shared" si="3"/>
        <v>16.929064213691831</v>
      </c>
      <c r="I19" s="7">
        <f>SUM(C19:H19)</f>
        <v>100.00000000000001</v>
      </c>
      <c r="J19" s="1"/>
      <c r="K19" s="2">
        <f>K5*100/$Q$5</f>
        <v>15.150210897822191</v>
      </c>
      <c r="L19" s="2">
        <f t="shared" ref="L19:P19" si="4">L5*100/$Q$5</f>
        <v>14.960833261599364</v>
      </c>
      <c r="M19" s="2">
        <f t="shared" si="4"/>
        <v>14.203322716708248</v>
      </c>
      <c r="N19" s="2">
        <f t="shared" si="4"/>
        <v>27.657742962899171</v>
      </c>
      <c r="O19" s="2">
        <f t="shared" si="4"/>
        <v>17.990875441163823</v>
      </c>
      <c r="P19" s="2">
        <f t="shared" si="4"/>
        <v>10.037014719807217</v>
      </c>
      <c r="Q19" s="2">
        <f>SUM(K19:P19)</f>
        <v>100.00000000000001</v>
      </c>
      <c r="R19" s="1"/>
      <c r="S19" s="3">
        <f>S5*100/$Y$5</f>
        <v>15.50595737539858</v>
      </c>
      <c r="T19" s="3">
        <f t="shared" ref="T19:X19" si="5">T5*100/$Y$5</f>
        <v>10.891089108910833</v>
      </c>
      <c r="U19" s="3">
        <f t="shared" si="5"/>
        <v>21.597583487162296</v>
      </c>
      <c r="V19" s="3">
        <f t="shared" si="5"/>
        <v>26.531297197516356</v>
      </c>
      <c r="W19" s="3">
        <f t="shared" si="5"/>
        <v>18.274878335291156</v>
      </c>
      <c r="X19" s="3">
        <f t="shared" si="5"/>
        <v>7.199194495720775</v>
      </c>
      <c r="Y19" s="3">
        <f>SUM(S19:X19)</f>
        <v>100</v>
      </c>
    </row>
    <row r="20" spans="1:2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">
      <c r="A21" s="4"/>
      <c r="B21" s="4"/>
      <c r="C21" s="11">
        <v>4</v>
      </c>
      <c r="D21" s="11"/>
      <c r="E21" s="11"/>
      <c r="F21" s="11"/>
      <c r="G21" s="11"/>
      <c r="H21" s="11"/>
      <c r="I21" s="11"/>
      <c r="J21" s="1"/>
      <c r="K21" s="12">
        <v>5</v>
      </c>
      <c r="L21" s="12"/>
      <c r="M21" s="12"/>
      <c r="N21" s="12"/>
      <c r="O21" s="12"/>
      <c r="P21" s="12"/>
      <c r="Q21" s="12"/>
      <c r="R21" s="1"/>
      <c r="S21" s="13">
        <v>6</v>
      </c>
      <c r="T21" s="13"/>
      <c r="U21" s="13"/>
      <c r="V21" s="13"/>
      <c r="W21" s="13"/>
      <c r="X21" s="13"/>
      <c r="Y21" s="13"/>
    </row>
    <row r="22" spans="1:25" x14ac:dyDescent="0.3">
      <c r="A22" s="4"/>
      <c r="B22" s="4"/>
      <c r="C22" s="4">
        <v>1</v>
      </c>
      <c r="D22" s="4">
        <v>2</v>
      </c>
      <c r="E22" s="4">
        <v>3</v>
      </c>
      <c r="F22" s="4">
        <v>4</v>
      </c>
      <c r="G22" s="4">
        <v>5</v>
      </c>
      <c r="H22" s="4">
        <v>6</v>
      </c>
      <c r="I22" s="4"/>
      <c r="J22" s="1"/>
      <c r="K22" s="5">
        <v>1</v>
      </c>
      <c r="L22" s="5">
        <v>2</v>
      </c>
      <c r="M22" s="5">
        <v>3</v>
      </c>
      <c r="N22" s="5">
        <v>4</v>
      </c>
      <c r="O22" s="5">
        <v>5</v>
      </c>
      <c r="P22" s="5">
        <v>6</v>
      </c>
      <c r="Q22" s="5"/>
      <c r="R22" s="1"/>
      <c r="S22" s="6">
        <v>1</v>
      </c>
      <c r="T22" s="6">
        <v>2</v>
      </c>
      <c r="U22" s="6">
        <v>3</v>
      </c>
      <c r="V22" s="6">
        <v>4</v>
      </c>
      <c r="W22" s="6">
        <v>5</v>
      </c>
      <c r="X22" s="6">
        <v>6</v>
      </c>
      <c r="Y22" s="6"/>
    </row>
    <row r="23" spans="1:25" x14ac:dyDescent="0.3">
      <c r="A23" s="4" t="s">
        <v>0</v>
      </c>
      <c r="B23" s="4"/>
      <c r="C23" s="15">
        <f>C9*100/$I$9</f>
        <v>29.867256637168193</v>
      </c>
      <c r="D23" s="15">
        <f t="shared" ref="D23:H23" si="6">D9*100/$I$9</f>
        <v>12.168141592920293</v>
      </c>
      <c r="E23" s="15">
        <f t="shared" si="6"/>
        <v>9.5132743362832208</v>
      </c>
      <c r="F23" s="15">
        <f t="shared" si="6"/>
        <v>10.840707964601791</v>
      </c>
      <c r="G23" s="15">
        <f t="shared" si="6"/>
        <v>18.584070796460185</v>
      </c>
      <c r="H23" s="15">
        <f t="shared" si="6"/>
        <v>19.026548672566324</v>
      </c>
      <c r="I23" s="4">
        <f>SUM(C23:H23)</f>
        <v>100</v>
      </c>
      <c r="J23" s="1"/>
      <c r="K23" s="16">
        <f>K9*100/$Q$9</f>
        <v>18.399999999999988</v>
      </c>
      <c r="L23" s="16">
        <f t="shared" ref="L23:P23" si="7">L9*100/$Q$9</f>
        <v>8.4000000000000092</v>
      </c>
      <c r="M23" s="16">
        <f t="shared" si="7"/>
        <v>10.000000000000009</v>
      </c>
      <c r="N23" s="16">
        <f t="shared" si="7"/>
        <v>21.399999999999981</v>
      </c>
      <c r="O23" s="16">
        <f t="shared" si="7"/>
        <v>18.600000000000016</v>
      </c>
      <c r="P23" s="16">
        <f t="shared" si="7"/>
        <v>23.200000000000014</v>
      </c>
      <c r="Q23" s="5">
        <f>SUM(K23:P23)</f>
        <v>100.00000000000003</v>
      </c>
      <c r="R23" s="1"/>
      <c r="S23" s="17">
        <f>S9*100/$Y$9</f>
        <v>7.817823592802652</v>
      </c>
      <c r="T23" s="17">
        <f t="shared" ref="T23:X23" si="8">T9*100/$Y$9</f>
        <v>11.726735389203947</v>
      </c>
      <c r="U23" s="17">
        <f t="shared" si="8"/>
        <v>8.0235557926132568</v>
      </c>
      <c r="V23" s="17">
        <f t="shared" si="8"/>
        <v>18.721630182764191</v>
      </c>
      <c r="W23" s="17">
        <f t="shared" si="8"/>
        <v>14.195521786931113</v>
      </c>
      <c r="X23" s="17">
        <f t="shared" si="8"/>
        <v>39.514733255684838</v>
      </c>
      <c r="Y23" s="6">
        <f>SUM(S23:X23)</f>
        <v>100</v>
      </c>
    </row>
    <row r="24" spans="1:25" x14ac:dyDescent="0.3">
      <c r="A24" s="4"/>
      <c r="B24" s="4"/>
      <c r="C24" s="4"/>
      <c r="D24" s="4"/>
      <c r="E24" s="4"/>
      <c r="F24" s="4"/>
      <c r="G24" s="4"/>
      <c r="H24" s="4"/>
      <c r="I24" s="4"/>
      <c r="J24" s="1"/>
      <c r="K24" s="5"/>
      <c r="L24" s="5"/>
      <c r="M24" s="5"/>
      <c r="N24" s="5"/>
      <c r="O24" s="5"/>
      <c r="P24" s="5"/>
      <c r="Q24" s="5"/>
      <c r="R24" s="1"/>
      <c r="S24" s="6"/>
      <c r="T24" s="6"/>
      <c r="U24" s="6"/>
      <c r="V24" s="6"/>
      <c r="W24" s="6"/>
      <c r="X24" s="6"/>
      <c r="Y24" s="6"/>
    </row>
    <row r="25" spans="1:25" x14ac:dyDescent="0.3">
      <c r="A25" s="4" t="s">
        <v>1</v>
      </c>
      <c r="B25" s="4"/>
      <c r="C25" s="4">
        <f>C11*100/$I$11</f>
        <v>17.577560560986026</v>
      </c>
      <c r="D25" s="4">
        <f t="shared" ref="D25:H25" si="9">D11*100/$I$11</f>
        <v>29.332766680832929</v>
      </c>
      <c r="E25" s="4">
        <f t="shared" si="9"/>
        <v>8.6017849553761394</v>
      </c>
      <c r="F25" s="4">
        <f t="shared" si="9"/>
        <v>28.032299192520192</v>
      </c>
      <c r="G25" s="4">
        <f t="shared" si="9"/>
        <v>2.8049298767530857</v>
      </c>
      <c r="H25" s="4">
        <f t="shared" si="9"/>
        <v>13.650658733531634</v>
      </c>
      <c r="I25" s="4">
        <f>SUM(C25:H25)</f>
        <v>100</v>
      </c>
      <c r="J25" s="1"/>
      <c r="K25" s="16">
        <f>K11*100/$Q$11</f>
        <v>8.7106214494749725</v>
      </c>
      <c r="L25" s="16">
        <f t="shared" ref="L25:P25" si="10">L11*100/$Q$11</f>
        <v>10.036150800481956</v>
      </c>
      <c r="M25" s="16">
        <f t="shared" si="10"/>
        <v>13.444654845928707</v>
      </c>
      <c r="N25" s="16">
        <f t="shared" si="10"/>
        <v>22.533998967120038</v>
      </c>
      <c r="O25" s="16">
        <f t="shared" si="10"/>
        <v>15.716990876226539</v>
      </c>
      <c r="P25" s="16">
        <f t="shared" si="10"/>
        <v>29.557583060767787</v>
      </c>
      <c r="Q25" s="5">
        <f>SUM(K25:P25)</f>
        <v>99.999999999999986</v>
      </c>
      <c r="R25" s="1"/>
      <c r="S25" s="17">
        <f>S11*100/$Y$11</f>
        <v>6.1352053082027123</v>
      </c>
      <c r="T25" s="17">
        <f t="shared" ref="T25:X25" si="11">T11*100/$Y$11</f>
        <v>13.96288104625444</v>
      </c>
      <c r="U25" s="17">
        <f t="shared" si="11"/>
        <v>5.0774112895470758</v>
      </c>
      <c r="V25" s="17">
        <f t="shared" si="11"/>
        <v>23.483027214155214</v>
      </c>
      <c r="W25" s="17">
        <f t="shared" si="11"/>
        <v>5.0774112895470642</v>
      </c>
      <c r="X25" s="17">
        <f t="shared" si="11"/>
        <v>46.264063852293496</v>
      </c>
      <c r="Y25" s="6">
        <f>SUM(S25:X25)</f>
        <v>100</v>
      </c>
    </row>
  </sheetData>
  <mergeCells count="12">
    <mergeCell ref="C15:I15"/>
    <mergeCell ref="K15:Q15"/>
    <mergeCell ref="S15:X15"/>
    <mergeCell ref="C21:I21"/>
    <mergeCell ref="K21:Q21"/>
    <mergeCell ref="S21:Y21"/>
    <mergeCell ref="C1:I1"/>
    <mergeCell ref="K1:Q1"/>
    <mergeCell ref="S1:X1"/>
    <mergeCell ref="C7:I7"/>
    <mergeCell ref="K7:Q7"/>
    <mergeCell ref="S7:Y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魏志飞</dc:creator>
  <cp:lastModifiedBy>志飞 魏</cp:lastModifiedBy>
  <dcterms:created xsi:type="dcterms:W3CDTF">2015-06-05T18:19:34Z</dcterms:created>
  <dcterms:modified xsi:type="dcterms:W3CDTF">2025-12-20T12:48:27Z</dcterms:modified>
</cp:coreProperties>
</file>